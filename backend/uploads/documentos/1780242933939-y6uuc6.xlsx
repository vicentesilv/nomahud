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Y51"/>
  <sheetViews>
    <sheetView workbookViewId="0" rightToLeft="0"/>
  </sheetViews>
  <sheetData>
    <row r="3">
      <c r="B3" t="str">
        <v>lunes</v>
      </c>
      <c r="C3" t="str">
        <v>martes</v>
      </c>
      <c r="D3" t="str">
        <v>miercoles</v>
      </c>
      <c r="E3" t="str">
        <v>jueves</v>
      </c>
      <c r="F3" t="str">
        <v>viernes</v>
      </c>
      <c r="G3" t="str">
        <v>sabado</v>
      </c>
      <c r="H3" t="str">
        <v>domingo</v>
      </c>
    </row>
    <row r="4">
      <c r="A4" t="str">
        <v>mayo</v>
      </c>
      <c r="D4">
        <v>29</v>
      </c>
      <c r="E4">
        <v>30</v>
      </c>
      <c r="F4">
        <v>31</v>
      </c>
      <c r="G4">
        <v>1</v>
      </c>
      <c r="H4">
        <v>2</v>
      </c>
    </row>
    <row r="5">
      <c r="B5">
        <v>3</v>
      </c>
      <c r="C5">
        <v>4</v>
      </c>
      <c r="D5">
        <v>5</v>
      </c>
      <c r="E5">
        <v>6</v>
      </c>
      <c r="F5">
        <v>7</v>
      </c>
      <c r="G5">
        <v>8</v>
      </c>
      <c r="H5">
        <v>9</v>
      </c>
      <c r="J5">
        <v>0</v>
      </c>
      <c r="K5">
        <v>0</v>
      </c>
      <c r="L5">
        <v>0</v>
      </c>
      <c r="M5">
        <v>1500</v>
      </c>
      <c r="N5">
        <v>0</v>
      </c>
    </row>
    <row r="6">
      <c r="B6">
        <v>10</v>
      </c>
      <c r="C6">
        <v>11</v>
      </c>
      <c r="D6">
        <v>12</v>
      </c>
      <c r="E6">
        <v>13</v>
      </c>
      <c r="F6">
        <v>14</v>
      </c>
      <c r="G6">
        <v>15</v>
      </c>
      <c r="H6">
        <v>16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f>SUM(I5:N6)</f>
        <v>1500</v>
      </c>
      <c r="Q6">
        <f>I7-P6</f>
        <v>2592</v>
      </c>
      <c r="U6" t="str">
        <v>ahorros</v>
      </c>
      <c r="V6">
        <v>26500</v>
      </c>
      <c r="W6">
        <v>3500</v>
      </c>
      <c r="Y6">
        <f>SUM(V6:X6)</f>
        <v>30000</v>
      </c>
    </row>
    <row r="7">
      <c r="B7">
        <v>17</v>
      </c>
      <c r="C7">
        <v>18</v>
      </c>
      <c r="D7">
        <v>19</v>
      </c>
      <c r="E7">
        <v>20</v>
      </c>
      <c r="F7">
        <v>21</v>
      </c>
      <c r="G7">
        <v>22</v>
      </c>
      <c r="H7">
        <v>23</v>
      </c>
      <c r="I7">
        <v>4092</v>
      </c>
    </row>
    <row r="8">
      <c r="B8">
        <v>24</v>
      </c>
      <c r="C8">
        <v>25</v>
      </c>
      <c r="D8">
        <v>26</v>
      </c>
      <c r="E8">
        <v>27</v>
      </c>
      <c r="F8">
        <v>28</v>
      </c>
      <c r="G8">
        <v>29</v>
      </c>
      <c r="H8">
        <v>30</v>
      </c>
    </row>
    <row r="9">
      <c r="B9">
        <v>31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U9" t="str">
        <v>vacaciones</v>
      </c>
      <c r="V9">
        <v>4000</v>
      </c>
      <c r="X9">
        <v>3000</v>
      </c>
      <c r="Y9">
        <f>SUM(V9:X9)</f>
        <v>7000</v>
      </c>
    </row>
    <row r="10">
      <c r="A10" t="str">
        <v>junio</v>
      </c>
      <c r="B10">
        <v>7</v>
      </c>
      <c r="C10">
        <v>8</v>
      </c>
      <c r="D10">
        <v>9</v>
      </c>
      <c r="E10">
        <v>10</v>
      </c>
      <c r="F10">
        <v>11</v>
      </c>
      <c r="G10">
        <v>12</v>
      </c>
      <c r="H10">
        <v>13</v>
      </c>
    </row>
    <row r="11">
      <c r="B11">
        <v>14</v>
      </c>
      <c r="C11">
        <v>15</v>
      </c>
      <c r="D11">
        <v>16</v>
      </c>
      <c r="E11">
        <v>17</v>
      </c>
      <c r="F11">
        <v>18</v>
      </c>
      <c r="G11">
        <v>19</v>
      </c>
      <c r="H11">
        <v>20</v>
      </c>
      <c r="I11">
        <v>1400</v>
      </c>
      <c r="J11">
        <v>200</v>
      </c>
      <c r="K11">
        <v>263</v>
      </c>
      <c r="L11">
        <v>80</v>
      </c>
      <c r="M11">
        <v>1500</v>
      </c>
      <c r="N11">
        <v>500</v>
      </c>
      <c r="O11">
        <v>440</v>
      </c>
      <c r="P11">
        <f>SUM(I11:O11)</f>
        <v>4383</v>
      </c>
      <c r="Q11">
        <f>I12-P11</f>
        <v>117</v>
      </c>
    </row>
    <row r="12">
      <c r="B12">
        <v>21</v>
      </c>
      <c r="C12">
        <v>22</v>
      </c>
      <c r="D12">
        <v>23</v>
      </c>
      <c r="E12">
        <v>24</v>
      </c>
      <c r="F12">
        <v>25</v>
      </c>
      <c r="G12">
        <v>26</v>
      </c>
      <c r="H12">
        <v>27</v>
      </c>
      <c r="I12">
        <v>4500</v>
      </c>
      <c r="O12" t="str">
        <v>.</v>
      </c>
    </row>
    <row r="13">
      <c r="B13">
        <v>28</v>
      </c>
      <c r="C13">
        <v>29</v>
      </c>
      <c r="D13">
        <v>30</v>
      </c>
      <c r="E13">
        <v>31</v>
      </c>
      <c r="F13">
        <v>1</v>
      </c>
      <c r="G13">
        <v>2</v>
      </c>
      <c r="H13">
        <v>3</v>
      </c>
    </row>
    <row r="14">
      <c r="A14" t="str">
        <v>julio</v>
      </c>
      <c r="B14">
        <v>4</v>
      </c>
      <c r="C14">
        <v>5</v>
      </c>
      <c r="D14">
        <v>6</v>
      </c>
      <c r="E14">
        <v>7</v>
      </c>
      <c r="F14">
        <v>8</v>
      </c>
      <c r="G14">
        <v>9</v>
      </c>
      <c r="H14">
        <v>10</v>
      </c>
    </row>
    <row r="15">
      <c r="B15">
        <v>11</v>
      </c>
      <c r="C15">
        <v>12</v>
      </c>
      <c r="D15">
        <v>13</v>
      </c>
      <c r="E15">
        <v>14</v>
      </c>
      <c r="F15">
        <v>15</v>
      </c>
      <c r="G15">
        <v>16</v>
      </c>
      <c r="H15">
        <v>17</v>
      </c>
      <c r="I15">
        <v>0</v>
      </c>
      <c r="J15">
        <v>200</v>
      </c>
      <c r="K15">
        <v>263</v>
      </c>
      <c r="L15">
        <v>80</v>
      </c>
      <c r="M15">
        <v>1500</v>
      </c>
      <c r="N15">
        <v>33</v>
      </c>
      <c r="O15">
        <v>440</v>
      </c>
      <c r="P15">
        <f>SUM(I15:O15)</f>
        <v>2516</v>
      </c>
      <c r="Q15">
        <f>J16-P15</f>
        <v>1693</v>
      </c>
    </row>
    <row r="16">
      <c r="B16">
        <v>18</v>
      </c>
      <c r="C16">
        <v>19</v>
      </c>
      <c r="D16">
        <v>20</v>
      </c>
      <c r="E16">
        <v>21</v>
      </c>
      <c r="F16">
        <v>22</v>
      </c>
      <c r="G16">
        <v>23</v>
      </c>
      <c r="H16">
        <v>24</v>
      </c>
      <c r="I16">
        <v>4092</v>
      </c>
      <c r="J16">
        <f>SUM(Q11,I16)</f>
        <v>4209</v>
      </c>
    </row>
    <row r="17">
      <c r="B17">
        <v>25</v>
      </c>
      <c r="C17">
        <v>26</v>
      </c>
      <c r="D17">
        <v>27</v>
      </c>
      <c r="E17">
        <v>28</v>
      </c>
      <c r="F17">
        <v>29</v>
      </c>
      <c r="G17">
        <v>30</v>
      </c>
      <c r="H17">
        <v>31</v>
      </c>
    </row>
    <row r="18">
      <c r="A18" t="str">
        <v>agosto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</row>
    <row r="19">
      <c r="B19">
        <v>8</v>
      </c>
      <c r="C19">
        <v>9</v>
      </c>
      <c r="D19">
        <v>10</v>
      </c>
      <c r="E19">
        <v>11</v>
      </c>
      <c r="F19">
        <v>12</v>
      </c>
      <c r="G19">
        <v>13</v>
      </c>
      <c r="H19">
        <v>14</v>
      </c>
    </row>
    <row r="20">
      <c r="B20">
        <v>15</v>
      </c>
      <c r="C20">
        <v>16</v>
      </c>
      <c r="D20">
        <v>17</v>
      </c>
      <c r="E20">
        <v>18</v>
      </c>
      <c r="F20">
        <v>19</v>
      </c>
      <c r="G20">
        <v>20</v>
      </c>
      <c r="H20">
        <v>21</v>
      </c>
      <c r="I20">
        <v>0</v>
      </c>
      <c r="J20">
        <v>200</v>
      </c>
      <c r="K20">
        <v>263</v>
      </c>
      <c r="L20">
        <v>80</v>
      </c>
      <c r="M20">
        <v>1500</v>
      </c>
      <c r="N20">
        <v>500</v>
      </c>
      <c r="O20">
        <v>440</v>
      </c>
      <c r="P20">
        <f>SUM(I20:O20)</f>
        <v>2983</v>
      </c>
      <c r="Q20">
        <f>J21-P20</f>
        <v>3825</v>
      </c>
    </row>
    <row r="21">
      <c r="B21">
        <v>22</v>
      </c>
      <c r="C21">
        <v>23</v>
      </c>
      <c r="D21">
        <v>24</v>
      </c>
      <c r="E21">
        <v>25</v>
      </c>
      <c r="F21">
        <v>26</v>
      </c>
      <c r="G21">
        <v>27</v>
      </c>
      <c r="H21">
        <v>28</v>
      </c>
      <c r="I21">
        <v>5115</v>
      </c>
      <c r="J21">
        <f>SUM(Q15,I21)</f>
        <v>6808</v>
      </c>
    </row>
    <row r="22">
      <c r="B22">
        <v>29</v>
      </c>
      <c r="C22">
        <v>30</v>
      </c>
      <c r="D22">
        <v>31</v>
      </c>
      <c r="E22">
        <v>1</v>
      </c>
      <c r="F22">
        <v>2</v>
      </c>
      <c r="G22">
        <v>3</v>
      </c>
      <c r="H22">
        <v>4</v>
      </c>
    </row>
    <row r="23">
      <c r="A23" t="str">
        <v>septiembre</v>
      </c>
      <c r="B23">
        <v>5</v>
      </c>
      <c r="C23">
        <v>6</v>
      </c>
      <c r="D23">
        <v>7</v>
      </c>
      <c r="E23">
        <v>8</v>
      </c>
      <c r="F23">
        <v>9</v>
      </c>
      <c r="G23">
        <v>10</v>
      </c>
      <c r="H23">
        <v>11</v>
      </c>
    </row>
    <row r="24">
      <c r="B24">
        <v>12</v>
      </c>
      <c r="C24">
        <v>13</v>
      </c>
      <c r="D24">
        <v>14</v>
      </c>
      <c r="E24">
        <v>15</v>
      </c>
      <c r="F24">
        <v>16</v>
      </c>
      <c r="G24">
        <v>17</v>
      </c>
      <c r="H24">
        <v>18</v>
      </c>
      <c r="I24">
        <v>0</v>
      </c>
      <c r="J24">
        <v>200</v>
      </c>
      <c r="K24">
        <v>263</v>
      </c>
      <c r="L24">
        <v>80</v>
      </c>
      <c r="M24">
        <v>1500</v>
      </c>
      <c r="N24">
        <v>500</v>
      </c>
      <c r="O24">
        <v>440</v>
      </c>
      <c r="P24">
        <f>SUM(I24:O24)</f>
        <v>2983</v>
      </c>
      <c r="Q24">
        <f>J25-P24</f>
        <v>4934</v>
      </c>
    </row>
    <row r="25">
      <c r="B25">
        <v>19</v>
      </c>
      <c r="C25">
        <v>20</v>
      </c>
      <c r="D25">
        <v>21</v>
      </c>
      <c r="E25">
        <v>22</v>
      </c>
      <c r="F25">
        <v>23</v>
      </c>
      <c r="G25">
        <v>24</v>
      </c>
      <c r="H25">
        <v>25</v>
      </c>
      <c r="I25">
        <v>4092</v>
      </c>
      <c r="J25">
        <f>SUM(Q20,I25)</f>
        <v>7917</v>
      </c>
    </row>
    <row r="26">
      <c r="B26">
        <v>26</v>
      </c>
      <c r="C26">
        <v>27</v>
      </c>
      <c r="D26">
        <v>28</v>
      </c>
      <c r="E26">
        <v>29</v>
      </c>
      <c r="F26">
        <v>30</v>
      </c>
      <c r="G26">
        <v>1</v>
      </c>
      <c r="H26">
        <v>2</v>
      </c>
    </row>
    <row r="27">
      <c r="A27" t="str">
        <v>octubre</v>
      </c>
      <c r="B27">
        <v>3</v>
      </c>
      <c r="C27">
        <v>4</v>
      </c>
      <c r="D27">
        <v>5</v>
      </c>
      <c r="E27">
        <v>6</v>
      </c>
      <c r="F27">
        <v>7</v>
      </c>
      <c r="G27">
        <v>8</v>
      </c>
      <c r="H27">
        <v>9</v>
      </c>
    </row>
    <row r="28">
      <c r="B28">
        <v>10</v>
      </c>
      <c r="C28">
        <v>11</v>
      </c>
      <c r="D28">
        <v>12</v>
      </c>
      <c r="E28">
        <v>13</v>
      </c>
      <c r="F28">
        <v>14</v>
      </c>
      <c r="G28">
        <v>15</v>
      </c>
      <c r="H28">
        <v>16</v>
      </c>
    </row>
    <row r="29">
      <c r="B29">
        <v>17</v>
      </c>
      <c r="C29">
        <v>18</v>
      </c>
      <c r="D29">
        <v>19</v>
      </c>
      <c r="E29">
        <v>20</v>
      </c>
      <c r="F29">
        <v>21</v>
      </c>
      <c r="G29">
        <v>22</v>
      </c>
      <c r="H29">
        <v>23</v>
      </c>
      <c r="I29">
        <v>0</v>
      </c>
      <c r="J29">
        <v>200</v>
      </c>
      <c r="K29">
        <v>263</v>
      </c>
      <c r="L29">
        <v>80</v>
      </c>
      <c r="M29">
        <v>1500</v>
      </c>
      <c r="N29">
        <v>500</v>
      </c>
      <c r="O29">
        <v>440</v>
      </c>
      <c r="P29">
        <f>SUM(I29:O29)</f>
        <v>2983</v>
      </c>
      <c r="Q29">
        <f>J30-P29</f>
        <v>6043</v>
      </c>
    </row>
    <row r="30">
      <c r="B30">
        <v>24</v>
      </c>
      <c r="C30">
        <v>25</v>
      </c>
      <c r="D30">
        <v>26</v>
      </c>
      <c r="E30">
        <v>27</v>
      </c>
      <c r="F30">
        <v>28</v>
      </c>
      <c r="G30">
        <v>29</v>
      </c>
      <c r="H30">
        <v>30</v>
      </c>
      <c r="I30">
        <v>4092</v>
      </c>
      <c r="J30">
        <f>SUM(Q24,I30)</f>
        <v>9026</v>
      </c>
    </row>
    <row r="31">
      <c r="B31">
        <v>31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</row>
    <row r="32">
      <c r="A32" t="str">
        <v>noviembre</v>
      </c>
      <c r="B32">
        <v>7</v>
      </c>
      <c r="C32">
        <v>8</v>
      </c>
      <c r="D32">
        <v>9</v>
      </c>
      <c r="E32">
        <v>10</v>
      </c>
      <c r="F32">
        <v>11</v>
      </c>
      <c r="G32">
        <v>12</v>
      </c>
      <c r="H32">
        <v>13</v>
      </c>
    </row>
    <row r="33">
      <c r="B33">
        <v>14</v>
      </c>
      <c r="C33">
        <v>15</v>
      </c>
      <c r="D33">
        <v>16</v>
      </c>
      <c r="E33">
        <v>17</v>
      </c>
      <c r="F33">
        <v>18</v>
      </c>
      <c r="G33">
        <v>19</v>
      </c>
      <c r="H33">
        <v>20</v>
      </c>
      <c r="I33">
        <v>0</v>
      </c>
      <c r="J33">
        <v>200</v>
      </c>
      <c r="K33">
        <v>263</v>
      </c>
      <c r="L33">
        <v>80</v>
      </c>
      <c r="M33">
        <v>1500</v>
      </c>
      <c r="N33">
        <v>500</v>
      </c>
      <c r="O33">
        <v>440</v>
      </c>
      <c r="P33">
        <f>SUM(I33:O33)</f>
        <v>2983</v>
      </c>
      <c r="Q33">
        <f>J34-P33</f>
        <v>8175</v>
      </c>
    </row>
    <row r="34">
      <c r="B34">
        <v>21</v>
      </c>
      <c r="C34">
        <v>22</v>
      </c>
      <c r="D34">
        <v>23</v>
      </c>
      <c r="E34">
        <v>24</v>
      </c>
      <c r="F34">
        <v>25</v>
      </c>
      <c r="G34">
        <v>26</v>
      </c>
      <c r="H34">
        <v>27</v>
      </c>
      <c r="I34">
        <v>5115</v>
      </c>
      <c r="J34">
        <f>SUM(Q29,I34)</f>
        <v>11158</v>
      </c>
    </row>
    <row r="35">
      <c r="B35">
        <v>28</v>
      </c>
      <c r="C35">
        <v>29</v>
      </c>
      <c r="D35">
        <v>30</v>
      </c>
    </row>
    <row r="38">
      <c r="C38" t="str">
        <v>tarjeta plata</v>
      </c>
    </row>
    <row r="39">
      <c r="C39" t="str">
        <v>tarjeta nu</v>
      </c>
      <c r="D39">
        <v>2000</v>
      </c>
    </row>
    <row r="40">
      <c r="C40" t="str">
        <v>banamex</v>
      </c>
      <c r="D40">
        <v>100</v>
      </c>
    </row>
    <row r="41">
      <c r="C41" t="str">
        <v>bbva</v>
      </c>
      <c r="D41">
        <v>500</v>
      </c>
    </row>
    <row r="42">
      <c r="C42" t="str">
        <v>coppel</v>
      </c>
      <c r="D42">
        <v>930</v>
      </c>
      <c r="E42">
        <v>263</v>
      </c>
    </row>
    <row r="43">
      <c r="C43" t="str">
        <v>liverpool</v>
      </c>
      <c r="D43">
        <v>200</v>
      </c>
    </row>
    <row r="44">
      <c r="C44" t="str">
        <v>mercado libre</v>
      </c>
      <c r="D44">
        <v>2600</v>
      </c>
      <c r="E44">
        <v>440</v>
      </c>
    </row>
    <row r="50">
      <c r="A50" t="str">
        <v>cundina</v>
      </c>
      <c r="B50" t="str">
        <v>inicia</v>
      </c>
    </row>
    <row r="51">
      <c r="A51">
        <v>3000</v>
      </c>
      <c r="B51">
        <v>46167</v>
      </c>
      <c r="C51">
        <v>46220</v>
      </c>
    </row>
  </sheetData>
  <mergeCells count="7">
    <mergeCell ref="A4:A9"/>
    <mergeCell ref="A10:A13"/>
    <mergeCell ref="A14:A17"/>
    <mergeCell ref="A18:A22"/>
    <mergeCell ref="A23:A26"/>
    <mergeCell ref="A27:A31"/>
    <mergeCell ref="A32:A35"/>
  </mergeCells>
  <pageMargins left="0.7007874015748032" right="0.7007874015748032" top="0.7519685039370079" bottom="0.7519685039370079" header="0.3" footer="0.3"/>
  <ignoredErrors>
    <ignoredError numberStoredAsText="1" sqref="A3:Y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2026-05-25T04:04:31Z</dcterms:modified>
  <cp:revision>5</cp:revision>
</cp:coreProperties>
</file>